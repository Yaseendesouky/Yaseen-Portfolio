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<sst xmlns="http://schemas.openxmlformats.org/spreadsheetml/2006/main" count="58" uniqueCount="39">
  <si>
    <t xml:space="preserve">Inventory Reorder Analysis</t>
  </si>
  <si>
    <t xml:space="preserve">Code</t>
  </si>
  <si>
    <t xml:space="preserve">Product Description</t>
  </si>
  <si>
    <t xml:space="preserve">In Stock</t>
  </si>
  <si>
    <t xml:space="preserve">Required</t>
  </si>
  <si>
    <t xml:space="preserve">Sales (3M)</t>
  </si>
  <si>
    <t xml:space="preserve">Monthly Avg</t>
  </si>
  <si>
    <t xml:space="preserve">Coverage (Months)</t>
  </si>
  <si>
    <t xml:space="preserve">Coverage %</t>
  </si>
  <si>
    <t xml:space="preserve">Gap</t>
  </si>
  <si>
    <t xml:space="preserve">Decision</t>
  </si>
  <si>
    <t xml:space="preserve">MUS0005</t>
  </si>
  <si>
    <t xml:space="preserve">SPEAKER QURAN SQ-669</t>
  </si>
  <si>
    <t xml:space="preserve">MUS0018</t>
  </si>
  <si>
    <t xml:space="preserve">QURAN READ PEN 8GB LARGE AQ1002</t>
  </si>
  <si>
    <t xml:space="preserve">MUS0025</t>
  </si>
  <si>
    <t xml:space="preserve">QURAN READ PEN 8GB MEDIUM AQ1001</t>
  </si>
  <si>
    <t xml:space="preserve">MUS0004</t>
  </si>
  <si>
    <t xml:space="preserve">TOUCH LAMP QURAN SPEAKER SQ-112</t>
  </si>
  <si>
    <t xml:space="preserve">MUS0022</t>
  </si>
  <si>
    <t xml:space="preserve">TEACHING QURAN CHILD READING</t>
  </si>
  <si>
    <t xml:space="preserve">MUS0054</t>
  </si>
  <si>
    <t xml:space="preserve">SUNDUS ADHAN CLOCK 091</t>
  </si>
  <si>
    <t xml:space="preserve">ALB0002</t>
  </si>
  <si>
    <t xml:space="preserve">AL FAJR WALL CLOCK 21X22X2.5CM</t>
  </si>
  <si>
    <t xml:space="preserve">ALB0032</t>
  </si>
  <si>
    <t xml:space="preserve">AL FAJR WALL CLOCK FLAT WHITE</t>
  </si>
  <si>
    <t xml:space="preserve">ALB0041</t>
  </si>
  <si>
    <t xml:space="preserve">SPEAKER QURAN SQ-202</t>
  </si>
  <si>
    <t xml:space="preserve">ALB0042</t>
  </si>
  <si>
    <t xml:space="preserve">QURAN SPEAKER SQ-02</t>
  </si>
  <si>
    <t xml:space="preserve">📊  Inventory Dashboard – Reorder Decision</t>
  </si>
  <si>
    <t xml:space="preserve">Total Products</t>
  </si>
  <si>
    <t xml:space="preserve">اشتري الآن 🔴</t>
  </si>
  <si>
    <t xml:space="preserve">راقب 🟡</t>
  </si>
  <si>
    <t xml:space="preserve">لا تشتري 🟢</t>
  </si>
  <si>
    <t xml:space="preserve">Coverage % by Product</t>
  </si>
  <si>
    <t xml:space="preserve">Decision Summary</t>
  </si>
  <si>
    <t xml:space="preserve">Product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</si>
</sst>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4472C4"/>
      <name val="Arial"/>
      <family val="0"/>
      <charset val="1"/>
    </font>
    <font>
      <b val="true"/>
      <sz val="11"/>
      <color rgb="FF9C2200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28"/>
      <color rgb="FF4472C4"/>
      <name val="Arial"/>
      <family val="0"/>
      <charset val="1"/>
    </font>
    <font>
      <b val="true"/>
      <sz val="28"/>
      <color rgb="FF9C2200"/>
      <name val="Arial"/>
      <family val="0"/>
      <charset val="1"/>
    </font>
    <font>
      <b val="true"/>
      <sz val="28"/>
      <color rgb="FF7F6000"/>
      <name val="Arial"/>
      <family val="0"/>
      <charset val="1"/>
    </font>
    <font>
      <b val="true"/>
      <sz val="28"/>
      <color rgb="FF375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5090"/>
      </patternFill>
    </fill>
    <fill>
      <patternFill patternType="solid">
        <fgColor rgb="FF2E5090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2200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375623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2200"/>
      <rgbColor rgb="FF993366"/>
      <rgbColor rgb="FF2E5090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Coverage %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4472c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Dashboard!$A$9:$A$18</c:f>
              <c:strCache>
                <c:ptCount val="10"/>
                <c:pt idx="0">
                  <c:v>MUS0005</c:v>
                </c:pt>
                <c:pt idx="1">
                  <c:v>MUS0018</c:v>
                </c:pt>
                <c:pt idx="2">
                  <c:v>MUS0025</c:v>
                </c:pt>
                <c:pt idx="3">
                  <c:v>MUS0004</c:v>
                </c:pt>
                <c:pt idx="4">
                  <c:v>MUS0022</c:v>
                </c:pt>
                <c:pt idx="5">
                  <c:v>MUS0054</c:v>
                </c:pt>
                <c:pt idx="6">
                  <c:v>ALB0002</c:v>
                </c:pt>
                <c:pt idx="7">
                  <c:v>ALB0032</c:v>
                </c:pt>
                <c:pt idx="8">
                  <c:v>ALB0041</c:v>
                </c:pt>
                <c:pt idx="9">
                  <c:v>ALB0042</c:v>
                </c:pt>
              </c:strCache>
            </c:strRef>
          </c:cat>
          <c:val>
            <c:numRef>
              <c:f>Dashboard!$B$9:$B$18</c:f>
              <c:numCache>
                <c:formatCode>0%</c:formatCode>
                <c:ptCount val="10"/>
                <c:pt idx="0">
                  <c:v>1.55</c:v>
                </c:pt>
                <c:pt idx="1">
                  <c:v>1</c:v>
                </c:pt>
                <c:pt idx="2">
                  <c:v>1.05</c:v>
                </c:pt>
                <c:pt idx="3">
                  <c:v>1.9</c:v>
                </c:pt>
                <c:pt idx="4">
                  <c:v>2</c:v>
                </c:pt>
                <c:pt idx="5">
                  <c:v>1.9</c:v>
                </c:pt>
                <c:pt idx="6">
                  <c:v>1.3</c:v>
                </c:pt>
                <c:pt idx="7">
                  <c:v>1.95</c:v>
                </c:pt>
                <c:pt idx="8">
                  <c:v>0.95</c:v>
                </c:pt>
                <c:pt idx="9">
                  <c:v>1.4</c:v>
                </c:pt>
              </c:numCache>
            </c:numRef>
          </c:val>
        </c:ser>
        <c:gapWidth val="150"/>
        <c:overlap val="0"/>
        <c:axId val="5431561"/>
        <c:axId val="7387340"/>
      </c:barChart>
      <c:catAx>
        <c:axId val="5431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7340"/>
        <c:crosses val="autoZero"/>
        <c:auto val="1"/>
        <c:lblAlgn val="ctr"/>
        <c:lblOffset val="100"/>
        <c:noMultiLvlLbl val="0"/>
      </c:catAx>
      <c:valAx>
        <c:axId val="7387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Coverage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15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9</xdr:col>
      <xdr:colOff>699840</xdr:colOff>
      <xdr:row>29</xdr:row>
      <xdr:rowOff>132480</xdr:rowOff>
    </xdr:to>
    <xdr:graphicFrame>
      <xdr:nvGraphicFramePr>
        <xdr:cNvPr id="0" name="Chart 1"/>
        <xdr:cNvGraphicFramePr/>
      </xdr:nvGraphicFramePr>
      <xdr:xfrm>
        <a:off x="0" y="20764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5" min="3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4" t="s">
        <v>12</v>
      </c>
      <c r="C3" s="3" t="n">
        <v>31</v>
      </c>
      <c r="D3" s="3" t="n">
        <v>20</v>
      </c>
      <c r="E3" s="3" t="n">
        <v>97</v>
      </c>
      <c r="F3" s="3" t="n">
        <v>32.3</v>
      </c>
      <c r="G3" s="5" t="n">
        <f aca="false">C3/F3</f>
        <v>0.959752321981424</v>
      </c>
      <c r="H3" s="6" t="n">
        <f aca="false">C3/D3</f>
        <v>1.55</v>
      </c>
      <c r="I3" s="3" t="n">
        <f aca="false">C3-D3</f>
        <v>11</v>
      </c>
      <c r="J3" s="3" t="str">
        <f aca="false">IF(H3&lt;1,"اشتري الآن",IF(H3&lt;1.5,"راقب","لا تشتري"))</f>
        <v>لا تشتري</v>
      </c>
    </row>
    <row r="4" customFormat="false" ht="15" hidden="false" customHeight="false" outlineLevel="0" collapsed="false">
      <c r="A4" s="7" t="s">
        <v>13</v>
      </c>
      <c r="B4" s="8" t="s">
        <v>14</v>
      </c>
      <c r="C4" s="7" t="n">
        <v>20</v>
      </c>
      <c r="D4" s="7" t="n">
        <v>20</v>
      </c>
      <c r="E4" s="7" t="n">
        <v>62</v>
      </c>
      <c r="F4" s="7" t="n">
        <v>20.7</v>
      </c>
      <c r="G4" s="9" t="n">
        <f aca="false">C4/F4</f>
        <v>0.966183574879227</v>
      </c>
      <c r="H4" s="10" t="n">
        <f aca="false">C4/D4</f>
        <v>1</v>
      </c>
      <c r="I4" s="7" t="n">
        <f aca="false">C4-D4</f>
        <v>0</v>
      </c>
      <c r="J4" s="7" t="str">
        <f aca="false">IF(H4&lt;1,"اشتري الآن",IF(H4&lt;1.5,"راقب","لا تشتري"))</f>
        <v>راقب</v>
      </c>
    </row>
    <row r="5" customFormat="false" ht="15" hidden="false" customHeight="false" outlineLevel="0" collapsed="false">
      <c r="A5" s="3" t="s">
        <v>15</v>
      </c>
      <c r="B5" s="4" t="s">
        <v>16</v>
      </c>
      <c r="C5" s="3" t="n">
        <v>21</v>
      </c>
      <c r="D5" s="3" t="n">
        <v>20</v>
      </c>
      <c r="E5" s="3" t="n">
        <v>69</v>
      </c>
      <c r="F5" s="3" t="n">
        <v>23</v>
      </c>
      <c r="G5" s="5" t="n">
        <f aca="false">C5/F5</f>
        <v>0.91304347826087</v>
      </c>
      <c r="H5" s="6" t="n">
        <f aca="false">C5/D5</f>
        <v>1.05</v>
      </c>
      <c r="I5" s="3" t="n">
        <f aca="false">C5-D5</f>
        <v>1</v>
      </c>
      <c r="J5" s="3" t="str">
        <f aca="false">IF(H5&lt;1,"اشتري الآن",IF(H5&lt;1.5,"راقب","لا تشتري"))</f>
        <v>راقب</v>
      </c>
    </row>
    <row r="6" customFormat="false" ht="15" hidden="false" customHeight="false" outlineLevel="0" collapsed="false">
      <c r="A6" s="7" t="s">
        <v>17</v>
      </c>
      <c r="B6" s="8" t="s">
        <v>18</v>
      </c>
      <c r="C6" s="7" t="n">
        <v>19</v>
      </c>
      <c r="D6" s="7" t="n">
        <v>10</v>
      </c>
      <c r="E6" s="7" t="n">
        <v>27</v>
      </c>
      <c r="F6" s="7" t="n">
        <v>9</v>
      </c>
      <c r="G6" s="9" t="n">
        <f aca="false">C6/F6</f>
        <v>2.11111111111111</v>
      </c>
      <c r="H6" s="10" t="n">
        <f aca="false">C6/D6</f>
        <v>1.9</v>
      </c>
      <c r="I6" s="7" t="n">
        <f aca="false">C6-D6</f>
        <v>9</v>
      </c>
      <c r="J6" s="7" t="str">
        <f aca="false">IF(H6&lt;1,"اشتري الآن",IF(H6&lt;1.5,"راقب","لا تشتري"))</f>
        <v>لا تشتري</v>
      </c>
    </row>
    <row r="7" customFormat="false" ht="15" hidden="false" customHeight="false" outlineLevel="0" collapsed="false">
      <c r="A7" s="3" t="s">
        <v>19</v>
      </c>
      <c r="B7" s="4" t="s">
        <v>20</v>
      </c>
      <c r="C7" s="3" t="n">
        <v>20</v>
      </c>
      <c r="D7" s="3" t="n">
        <v>10</v>
      </c>
      <c r="E7" s="3" t="n">
        <v>18</v>
      </c>
      <c r="F7" s="3" t="n">
        <v>6</v>
      </c>
      <c r="G7" s="5" t="n">
        <f aca="false">C7/F7</f>
        <v>3.33333333333333</v>
      </c>
      <c r="H7" s="6" t="n">
        <f aca="false">C7/D7</f>
        <v>2</v>
      </c>
      <c r="I7" s="3" t="n">
        <f aca="false">C7-D7</f>
        <v>10</v>
      </c>
      <c r="J7" s="3" t="str">
        <f aca="false">IF(H7&lt;1,"اشتري الآن",IF(H7&lt;1.5,"راقب","لا تشتري"))</f>
        <v>لا تشتري</v>
      </c>
    </row>
    <row r="8" customFormat="false" ht="15" hidden="false" customHeight="false" outlineLevel="0" collapsed="false">
      <c r="A8" s="7" t="s">
        <v>21</v>
      </c>
      <c r="B8" s="8" t="s">
        <v>22</v>
      </c>
      <c r="C8" s="7" t="n">
        <v>19</v>
      </c>
      <c r="D8" s="7" t="n">
        <v>10</v>
      </c>
      <c r="E8" s="7" t="n">
        <v>27</v>
      </c>
      <c r="F8" s="7" t="n">
        <v>9</v>
      </c>
      <c r="G8" s="9" t="n">
        <f aca="false">C8/F8</f>
        <v>2.11111111111111</v>
      </c>
      <c r="H8" s="10" t="n">
        <f aca="false">C8/D8</f>
        <v>1.9</v>
      </c>
      <c r="I8" s="7" t="n">
        <f aca="false">C8-D8</f>
        <v>9</v>
      </c>
      <c r="J8" s="7" t="str">
        <f aca="false">IF(H8&lt;1,"اشتري الآن",IF(H8&lt;1.5,"راقب","لا تشتري"))</f>
        <v>لا تشتري</v>
      </c>
    </row>
    <row r="9" customFormat="false" ht="15" hidden="false" customHeight="false" outlineLevel="0" collapsed="false">
      <c r="A9" s="3" t="s">
        <v>23</v>
      </c>
      <c r="B9" s="4" t="s">
        <v>24</v>
      </c>
      <c r="C9" s="3" t="n">
        <v>26</v>
      </c>
      <c r="D9" s="3" t="n">
        <v>20</v>
      </c>
      <c r="E9" s="3" t="n">
        <v>63</v>
      </c>
      <c r="F9" s="3" t="n">
        <v>21</v>
      </c>
      <c r="G9" s="5" t="n">
        <f aca="false">C9/F9</f>
        <v>1.23809523809524</v>
      </c>
      <c r="H9" s="6" t="n">
        <f aca="false">C9/D9</f>
        <v>1.3</v>
      </c>
      <c r="I9" s="3" t="n">
        <f aca="false">C9-D9</f>
        <v>6</v>
      </c>
      <c r="J9" s="3" t="str">
        <f aca="false">IF(H9&lt;1,"اشتري الآن",IF(H9&lt;1.5,"راقب","لا تشتري"))</f>
        <v>راقب</v>
      </c>
    </row>
    <row r="10" customFormat="false" ht="15" hidden="false" customHeight="false" outlineLevel="0" collapsed="false">
      <c r="A10" s="7" t="s">
        <v>25</v>
      </c>
      <c r="B10" s="8" t="s">
        <v>26</v>
      </c>
      <c r="C10" s="7" t="n">
        <v>39</v>
      </c>
      <c r="D10" s="7" t="n">
        <v>20</v>
      </c>
      <c r="E10" s="7" t="n">
        <v>40</v>
      </c>
      <c r="F10" s="7" t="n">
        <v>13.3</v>
      </c>
      <c r="G10" s="9" t="n">
        <f aca="false">C10/F10</f>
        <v>2.93233082706767</v>
      </c>
      <c r="H10" s="10" t="n">
        <f aca="false">C10/D10</f>
        <v>1.95</v>
      </c>
      <c r="I10" s="7" t="n">
        <f aca="false">C10-D10</f>
        <v>19</v>
      </c>
      <c r="J10" s="7" t="str">
        <f aca="false">IF(H10&lt;1,"اشتري الآن",IF(H10&lt;1.5,"راقب","لا تشتري"))</f>
        <v>لا تشتري</v>
      </c>
    </row>
    <row r="11" customFormat="false" ht="15" hidden="false" customHeight="false" outlineLevel="0" collapsed="false">
      <c r="A11" s="3" t="s">
        <v>27</v>
      </c>
      <c r="B11" s="4" t="s">
        <v>28</v>
      </c>
      <c r="C11" s="3" t="n">
        <v>19</v>
      </c>
      <c r="D11" s="3" t="n">
        <v>20</v>
      </c>
      <c r="E11" s="3" t="n">
        <v>46</v>
      </c>
      <c r="F11" s="3" t="n">
        <v>15.3</v>
      </c>
      <c r="G11" s="5" t="n">
        <f aca="false">C11/F11</f>
        <v>1.24183006535948</v>
      </c>
      <c r="H11" s="6" t="n">
        <f aca="false">C11/D11</f>
        <v>0.95</v>
      </c>
      <c r="I11" s="3" t="n">
        <f aca="false">C11-D11</f>
        <v>-1</v>
      </c>
      <c r="J11" s="3" t="str">
        <f aca="false">IF(H11&lt;1,"اشتري الآن",IF(H11&lt;1.5,"راقب","لا تشتري"))</f>
        <v>اشتري الآن</v>
      </c>
    </row>
    <row r="12" customFormat="false" ht="15" hidden="false" customHeight="false" outlineLevel="0" collapsed="false">
      <c r="A12" s="7" t="s">
        <v>29</v>
      </c>
      <c r="B12" s="8" t="s">
        <v>30</v>
      </c>
      <c r="C12" s="7" t="n">
        <v>28</v>
      </c>
      <c r="D12" s="7" t="n">
        <v>20</v>
      </c>
      <c r="E12" s="7" t="n">
        <v>16</v>
      </c>
      <c r="F12" s="7" t="n">
        <v>5.3</v>
      </c>
      <c r="G12" s="9" t="n">
        <f aca="false">C12/F12</f>
        <v>5.28301886792453</v>
      </c>
      <c r="H12" s="10" t="n">
        <f aca="false">C12/D12</f>
        <v>1.4</v>
      </c>
      <c r="I12" s="7" t="n">
        <f aca="false">C12-D12</f>
        <v>8</v>
      </c>
      <c r="J12" s="7" t="str">
        <f aca="false">IF(H12&lt;1,"اشتري الآن",IF(H12&lt;1.5,"راقب","لا تشتري"))</f>
        <v>راقب</v>
      </c>
    </row>
  </sheetData>
  <mergeCells count="1">
    <mergeCell ref="A1:J1"/>
  </mergeCells>
  <conditionalFormatting sqref="J3:J12">
    <cfRule type="expression" priority="2" aboveAverage="0" equalAverage="0" bottom="0" percent="0" rank="0" text="" dxfId="0">
      <formula>J3="اشتري الآن"</formula>
    </cfRule>
    <cfRule type="expression" priority="3" aboveAverage="0" equalAverage="0" bottom="0" percent="0" rank="0" text="" dxfId="1">
      <formula>J3="راقب"</formula>
    </cfRule>
    <cfRule type="expression" priority="4" aboveAverage="0" equalAverage="0" bottom="0" percent="0" rank="0" text="" dxfId="2">
      <formula>J3="لا تشتري"</formula>
    </cfRule>
  </conditionalFormatting>
  <conditionalFormatting sqref="H3:H12">
    <cfRule type="colorScale" priority="5">
      <colorScale>
        <cfvo type="num" val="0"/>
        <cfvo type="num" val="1"/>
        <cfvo type="num" val="2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2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36" hidden="false" customHeight="true" outlineLevel="0" collapsed="false">
      <c r="A1" s="11" t="s">
        <v>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customFormat="false" ht="21.75" hidden="false" customHeight="true" outlineLevel="0" collapsed="false">
      <c r="B3" s="12" t="s">
        <v>32</v>
      </c>
      <c r="C3" s="12"/>
      <c r="D3" s="12"/>
      <c r="E3" s="13" t="s">
        <v>33</v>
      </c>
      <c r="F3" s="13"/>
      <c r="G3" s="13"/>
      <c r="H3" s="14" t="s">
        <v>34</v>
      </c>
      <c r="I3" s="14"/>
      <c r="J3" s="14"/>
      <c r="K3" s="15" t="s">
        <v>35</v>
      </c>
      <c r="L3" s="15"/>
      <c r="M3" s="15"/>
    </row>
    <row r="4" customFormat="false" ht="36" hidden="false" customHeight="true" outlineLevel="0" collapsed="false">
      <c r="B4" s="16" t="n">
        <f aca="false">COUNTA('Inventory Data'!A3:A12)</f>
        <v>10</v>
      </c>
      <c r="C4" s="16"/>
      <c r="D4" s="16"/>
      <c r="E4" s="17" t="n">
        <f aca="false">COUNTIF('Inventory Data'!J3:J12,"اشتري الآن")</f>
        <v>1</v>
      </c>
      <c r="F4" s="17"/>
      <c r="G4" s="17"/>
      <c r="H4" s="18" t="n">
        <f aca="false">COUNTIF('Inventory Data'!J3:J12,"راقب")</f>
        <v>4</v>
      </c>
      <c r="I4" s="18"/>
      <c r="J4" s="18"/>
      <c r="K4" s="19" t="n">
        <f aca="false">COUNTIF('Inventory Data'!J3:J12,"لا تشتري")</f>
        <v>5</v>
      </c>
      <c r="L4" s="19"/>
      <c r="M4" s="19"/>
    </row>
    <row r="5" customFormat="false" ht="9.75" hidden="false" customHeight="true" outlineLevel="0" collapsed="false">
      <c r="B5" s="16"/>
      <c r="C5" s="16"/>
      <c r="D5" s="16"/>
      <c r="E5" s="17"/>
      <c r="F5" s="17"/>
      <c r="G5" s="17"/>
      <c r="H5" s="18"/>
      <c r="I5" s="18"/>
      <c r="J5" s="18"/>
      <c r="K5" s="19"/>
      <c r="L5" s="19"/>
      <c r="M5" s="19"/>
    </row>
    <row r="7" customFormat="false" ht="15" hidden="false" customHeight="true" outlineLevel="0" collapsed="false">
      <c r="A7" s="20" t="s">
        <v>36</v>
      </c>
      <c r="B7" s="20"/>
      <c r="C7" s="20"/>
      <c r="D7" s="20"/>
      <c r="E7" s="20"/>
      <c r="F7" s="20"/>
      <c r="G7" s="20"/>
      <c r="I7" s="20" t="s">
        <v>37</v>
      </c>
      <c r="J7" s="20"/>
      <c r="K7" s="20"/>
      <c r="L7" s="20"/>
      <c r="M7" s="20"/>
      <c r="N7" s="20"/>
    </row>
    <row r="8" customFormat="false" ht="15" hidden="false" customHeight="false" outlineLevel="0" collapsed="false">
      <c r="A8" s="21" t="s">
        <v>38</v>
      </c>
      <c r="B8" s="21" t="s">
        <v>8</v>
      </c>
      <c r="C8" s="21" t="s">
        <v>4</v>
      </c>
      <c r="D8" s="21" t="s">
        <v>3</v>
      </c>
      <c r="I8" s="22" t="s">
        <v>1</v>
      </c>
      <c r="J8" s="22" t="s">
        <v>38</v>
      </c>
      <c r="K8" s="22" t="s">
        <v>3</v>
      </c>
      <c r="L8" s="22" t="s">
        <v>4</v>
      </c>
      <c r="M8" s="22" t="s">
        <v>8</v>
      </c>
      <c r="N8" s="22" t="s">
        <v>10</v>
      </c>
    </row>
    <row r="9" customFormat="false" ht="15" hidden="false" customHeight="false" outlineLevel="0" collapsed="false">
      <c r="A9" s="23" t="s">
        <v>11</v>
      </c>
      <c r="B9" s="24" t="n">
        <f aca="false">'Inventory Data'!H3</f>
        <v>1.55</v>
      </c>
      <c r="C9" s="0" t="n">
        <v>20</v>
      </c>
      <c r="D9" s="0" t="n">
        <v>31</v>
      </c>
      <c r="I9" s="25" t="str">
        <f aca="false">'Inventory Data'!A3</f>
        <v>MUS0005</v>
      </c>
      <c r="J9" s="26" t="str">
        <f aca="false">'Inventory Data'!B3</f>
        <v>SPEAKER QURAN SQ-669</v>
      </c>
      <c r="K9" s="25" t="n">
        <f aca="false">'Inventory Data'!C3</f>
        <v>31</v>
      </c>
      <c r="L9" s="25" t="n">
        <f aca="false">'Inventory Data'!D3</f>
        <v>20</v>
      </c>
      <c r="M9" s="27" t="n">
        <f aca="false">'Inventory Data'!H3</f>
        <v>1.55</v>
      </c>
      <c r="N9" s="25" t="str">
        <f aca="false">'Inventory Data'!J3</f>
        <v>لا تشتري</v>
      </c>
    </row>
    <row r="10" customFormat="false" ht="15" hidden="false" customHeight="false" outlineLevel="0" collapsed="false">
      <c r="A10" s="23" t="s">
        <v>13</v>
      </c>
      <c r="B10" s="24" t="n">
        <f aca="false">'Inventory Data'!H4</f>
        <v>1</v>
      </c>
      <c r="C10" s="0" t="n">
        <v>20</v>
      </c>
      <c r="D10" s="0" t="n">
        <v>20</v>
      </c>
      <c r="I10" s="28" t="str">
        <f aca="false">'Inventory Data'!A4</f>
        <v>MUS0018</v>
      </c>
      <c r="J10" s="29" t="str">
        <f aca="false">'Inventory Data'!B4</f>
        <v>QURAN READ PEN 8GB LARGE AQ1002</v>
      </c>
      <c r="K10" s="28" t="n">
        <f aca="false">'Inventory Data'!C4</f>
        <v>20</v>
      </c>
      <c r="L10" s="28" t="n">
        <f aca="false">'Inventory Data'!D4</f>
        <v>20</v>
      </c>
      <c r="M10" s="30" t="n">
        <f aca="false">'Inventory Data'!H4</f>
        <v>1</v>
      </c>
      <c r="N10" s="28" t="str">
        <f aca="false">'Inventory Data'!J4</f>
        <v>راقب</v>
      </c>
    </row>
    <row r="11" customFormat="false" ht="22.35" hidden="false" customHeight="false" outlineLevel="0" collapsed="false">
      <c r="A11" s="23" t="s">
        <v>15</v>
      </c>
      <c r="B11" s="24" t="n">
        <f aca="false">'Inventory Data'!H5</f>
        <v>1.05</v>
      </c>
      <c r="C11" s="0" t="n">
        <v>20</v>
      </c>
      <c r="D11" s="0" t="n">
        <v>21</v>
      </c>
      <c r="I11" s="25" t="str">
        <f aca="false">'Inventory Data'!A5</f>
        <v>MUS0025</v>
      </c>
      <c r="J11" s="26" t="str">
        <f aca="false">'Inventory Data'!B5</f>
        <v>QURAN READ PEN 8GB MEDIUM AQ1001</v>
      </c>
      <c r="K11" s="25" t="n">
        <f aca="false">'Inventory Data'!C5</f>
        <v>21</v>
      </c>
      <c r="L11" s="25" t="n">
        <f aca="false">'Inventory Data'!D5</f>
        <v>20</v>
      </c>
      <c r="M11" s="27" t="n">
        <f aca="false">'Inventory Data'!H5</f>
        <v>1.05</v>
      </c>
      <c r="N11" s="25" t="str">
        <f aca="false">'Inventory Data'!J5</f>
        <v>راقب</v>
      </c>
    </row>
    <row r="12" customFormat="false" ht="22.35" hidden="false" customHeight="false" outlineLevel="0" collapsed="false">
      <c r="A12" s="23" t="s">
        <v>17</v>
      </c>
      <c r="B12" s="24" t="n">
        <f aca="false">'Inventory Data'!H6</f>
        <v>1.9</v>
      </c>
      <c r="C12" s="0" t="n">
        <v>10</v>
      </c>
      <c r="D12" s="0" t="n">
        <v>19</v>
      </c>
      <c r="I12" s="28" t="str">
        <f aca="false">'Inventory Data'!A6</f>
        <v>MUS0004</v>
      </c>
      <c r="J12" s="29" t="str">
        <f aca="false">'Inventory Data'!B6</f>
        <v>TOUCH LAMP QURAN SPEAKER SQ-112</v>
      </c>
      <c r="K12" s="28" t="n">
        <f aca="false">'Inventory Data'!C6</f>
        <v>19</v>
      </c>
      <c r="L12" s="28" t="n">
        <f aca="false">'Inventory Data'!D6</f>
        <v>10</v>
      </c>
      <c r="M12" s="30" t="n">
        <f aca="false">'Inventory Data'!H6</f>
        <v>1.9</v>
      </c>
      <c r="N12" s="28" t="str">
        <f aca="false">'Inventory Data'!J6</f>
        <v>لا تشتري</v>
      </c>
    </row>
    <row r="13" customFormat="false" ht="15" hidden="false" customHeight="false" outlineLevel="0" collapsed="false">
      <c r="A13" s="23" t="s">
        <v>19</v>
      </c>
      <c r="B13" s="24" t="n">
        <f aca="false">'Inventory Data'!H7</f>
        <v>2</v>
      </c>
      <c r="C13" s="0" t="n">
        <v>10</v>
      </c>
      <c r="D13" s="0" t="n">
        <v>20</v>
      </c>
      <c r="I13" s="25" t="str">
        <f aca="false">'Inventory Data'!A7</f>
        <v>MUS0022</v>
      </c>
      <c r="J13" s="26" t="str">
        <f aca="false">'Inventory Data'!B7</f>
        <v>TEACHING QURAN CHILD READING</v>
      </c>
      <c r="K13" s="25" t="n">
        <f aca="false">'Inventory Data'!C7</f>
        <v>20</v>
      </c>
      <c r="L13" s="25" t="n">
        <f aca="false">'Inventory Data'!D7</f>
        <v>10</v>
      </c>
      <c r="M13" s="27" t="n">
        <f aca="false">'Inventory Data'!H7</f>
        <v>2</v>
      </c>
      <c r="N13" s="25" t="str">
        <f aca="false">'Inventory Data'!J7</f>
        <v>لا تشتري</v>
      </c>
    </row>
    <row r="14" customFormat="false" ht="15" hidden="false" customHeight="false" outlineLevel="0" collapsed="false">
      <c r="A14" s="23" t="s">
        <v>21</v>
      </c>
      <c r="B14" s="24" t="n">
        <f aca="false">'Inventory Data'!H8</f>
        <v>1.9</v>
      </c>
      <c r="C14" s="0" t="n">
        <v>10</v>
      </c>
      <c r="D14" s="0" t="n">
        <v>19</v>
      </c>
      <c r="I14" s="28" t="str">
        <f aca="false">'Inventory Data'!A8</f>
        <v>MUS0054</v>
      </c>
      <c r="J14" s="29" t="str">
        <f aca="false">'Inventory Data'!B8</f>
        <v>SUNDUS ADHAN CLOCK 091</v>
      </c>
      <c r="K14" s="28" t="n">
        <f aca="false">'Inventory Data'!C8</f>
        <v>19</v>
      </c>
      <c r="L14" s="28" t="n">
        <f aca="false">'Inventory Data'!D8</f>
        <v>10</v>
      </c>
      <c r="M14" s="30" t="n">
        <f aca="false">'Inventory Data'!H8</f>
        <v>1.9</v>
      </c>
      <c r="N14" s="28" t="str">
        <f aca="false">'Inventory Data'!J8</f>
        <v>لا تشتري</v>
      </c>
    </row>
    <row r="15" customFormat="false" ht="15" hidden="false" customHeight="false" outlineLevel="0" collapsed="false">
      <c r="A15" s="23" t="s">
        <v>23</v>
      </c>
      <c r="B15" s="24" t="n">
        <f aca="false">'Inventory Data'!H9</f>
        <v>1.3</v>
      </c>
      <c r="C15" s="0" t="n">
        <v>20</v>
      </c>
      <c r="D15" s="0" t="n">
        <v>26</v>
      </c>
      <c r="I15" s="25" t="str">
        <f aca="false">'Inventory Data'!A9</f>
        <v>ALB0002</v>
      </c>
      <c r="J15" s="26" t="str">
        <f aca="false">'Inventory Data'!B9</f>
        <v>AL FAJR WALL CLOCK 21X22X2.5CM</v>
      </c>
      <c r="K15" s="25" t="n">
        <f aca="false">'Inventory Data'!C9</f>
        <v>26</v>
      </c>
      <c r="L15" s="25" t="n">
        <f aca="false">'Inventory Data'!D9</f>
        <v>20</v>
      </c>
      <c r="M15" s="27" t="n">
        <f aca="false">'Inventory Data'!H9</f>
        <v>1.3</v>
      </c>
      <c r="N15" s="25" t="str">
        <f aca="false">'Inventory Data'!J9</f>
        <v>راقب</v>
      </c>
    </row>
    <row r="16" customFormat="false" ht="15" hidden="false" customHeight="false" outlineLevel="0" collapsed="false">
      <c r="A16" s="23" t="s">
        <v>25</v>
      </c>
      <c r="B16" s="24" t="n">
        <f aca="false">'Inventory Data'!H10</f>
        <v>1.95</v>
      </c>
      <c r="C16" s="0" t="n">
        <v>20</v>
      </c>
      <c r="D16" s="0" t="n">
        <v>39</v>
      </c>
      <c r="I16" s="28" t="str">
        <f aca="false">'Inventory Data'!A10</f>
        <v>ALB0032</v>
      </c>
      <c r="J16" s="29" t="str">
        <f aca="false">'Inventory Data'!B10</f>
        <v>AL FAJR WALL CLOCK FLAT WHITE</v>
      </c>
      <c r="K16" s="28" t="n">
        <f aca="false">'Inventory Data'!C10</f>
        <v>39</v>
      </c>
      <c r="L16" s="28" t="n">
        <f aca="false">'Inventory Data'!D10</f>
        <v>20</v>
      </c>
      <c r="M16" s="30" t="n">
        <f aca="false">'Inventory Data'!H10</f>
        <v>1.95</v>
      </c>
      <c r="N16" s="28" t="str">
        <f aca="false">'Inventory Data'!J10</f>
        <v>لا تشتري</v>
      </c>
    </row>
    <row r="17" customFormat="false" ht="15" hidden="false" customHeight="false" outlineLevel="0" collapsed="false">
      <c r="A17" s="23" t="s">
        <v>27</v>
      </c>
      <c r="B17" s="24" t="n">
        <f aca="false">'Inventory Data'!H11</f>
        <v>0.95</v>
      </c>
      <c r="C17" s="0" t="n">
        <v>20</v>
      </c>
      <c r="D17" s="0" t="n">
        <v>19</v>
      </c>
      <c r="I17" s="25" t="str">
        <f aca="false">'Inventory Data'!A11</f>
        <v>ALB0041</v>
      </c>
      <c r="J17" s="26" t="str">
        <f aca="false">'Inventory Data'!B11</f>
        <v>SPEAKER QURAN SQ-202</v>
      </c>
      <c r="K17" s="25" t="n">
        <f aca="false">'Inventory Data'!C11</f>
        <v>19</v>
      </c>
      <c r="L17" s="25" t="n">
        <f aca="false">'Inventory Data'!D11</f>
        <v>20</v>
      </c>
      <c r="M17" s="27" t="n">
        <f aca="false">'Inventory Data'!H11</f>
        <v>0.95</v>
      </c>
      <c r="N17" s="25" t="str">
        <f aca="false">'Inventory Data'!J11</f>
        <v>اشتري الآن</v>
      </c>
    </row>
    <row r="18" customFormat="false" ht="15" hidden="false" customHeight="false" outlineLevel="0" collapsed="false">
      <c r="A18" s="23" t="s">
        <v>29</v>
      </c>
      <c r="B18" s="24" t="n">
        <f aca="false">'Inventory Data'!H12</f>
        <v>1.4</v>
      </c>
      <c r="C18" s="0" t="n">
        <v>20</v>
      </c>
      <c r="D18" s="0" t="n">
        <v>28</v>
      </c>
      <c r="I18" s="28" t="str">
        <f aca="false">'Inventory Data'!A12</f>
        <v>ALB0042</v>
      </c>
      <c r="J18" s="29" t="str">
        <f aca="false">'Inventory Data'!B12</f>
        <v>QURAN SPEAKER SQ-02</v>
      </c>
      <c r="K18" s="28" t="n">
        <f aca="false">'Inventory Data'!C12</f>
        <v>28</v>
      </c>
      <c r="L18" s="28" t="n">
        <f aca="false">'Inventory Data'!D12</f>
        <v>20</v>
      </c>
      <c r="M18" s="30" t="n">
        <f aca="false">'Inventory Data'!H12</f>
        <v>1.4</v>
      </c>
      <c r="N18" s="28" t="str">
        <f aca="false">'Inventory Data'!J12</f>
        <v>راقب</v>
      </c>
    </row>
  </sheetData>
  <mergeCells count="11">
    <mergeCell ref="A1:N1"/>
    <mergeCell ref="B3:D3"/>
    <mergeCell ref="E3:G3"/>
    <mergeCell ref="H3:J3"/>
    <mergeCell ref="K3:M3"/>
    <mergeCell ref="B4:D5"/>
    <mergeCell ref="E4:G5"/>
    <mergeCell ref="H4:J5"/>
    <mergeCell ref="K4:M5"/>
    <mergeCell ref="A7:G7"/>
    <mergeCell ref="I7:N7"/>
  </mergeCells>
  <conditionalFormatting sqref="N9:N18">
    <cfRule type="expression" priority="2" aboveAverage="0" equalAverage="0" bottom="0" percent="0" rank="0" text="" dxfId="0">
      <formula>N9="اشتري الآن"</formula>
    </cfRule>
    <cfRule type="expression" priority="3" aboveAverage="0" equalAverage="0" bottom="0" percent="0" rank="0" text="" dxfId="1">
      <formula>N9="راقب"</formula>
    </cfRule>
    <cfRule type="expression" priority="4" aboveAverage="0" equalAverage="0" bottom="0" percent="0" rank="0" text="" dxfId="2">
      <formula>N9="لا تشتري"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2026-05-03T08:58:08Z</dcterms:created>
  <dc:creator>openpyxl</dc:creator>
  <dc:description/>
  <dc:language>en-US</dc:language>
  <cp:lastModifiedBy/>
  <dcterms:modified xsi:type="dcterms:W3CDTF">2026-05-03T08:58:14Z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